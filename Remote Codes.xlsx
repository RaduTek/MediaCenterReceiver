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u\Documents\Arduino\MediaCenterReceiver\"/>
    </mc:Choice>
  </mc:AlternateContent>
  <xr:revisionPtr revIDLastSave="0" documentId="13_ncr:1_{58FC585E-1C11-4BFF-80FB-9B3F582BB337}" xr6:coauthVersionLast="47" xr6:coauthVersionMax="47" xr10:uidLastSave="{00000000-0000-0000-0000-000000000000}"/>
  <bookViews>
    <workbookView xWindow="18150" yWindow="990" windowWidth="14250" windowHeight="14205" xr2:uid="{F9445B21-A50A-4171-A2BD-61B85BB33AE4}"/>
  </bookViews>
  <sheets>
    <sheet name="Media Center" sheetId="4" r:id="rId1"/>
    <sheet name="Logitech Z Cinem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" i="4"/>
</calcChain>
</file>

<file path=xl/sharedStrings.xml><?xml version="1.0" encoding="utf-8"?>
<sst xmlns="http://schemas.openxmlformats.org/spreadsheetml/2006/main" count="386" uniqueCount="150">
  <si>
    <t>Key Label</t>
  </si>
  <si>
    <t>MUTE</t>
  </si>
  <si>
    <t>0x14</t>
  </si>
  <si>
    <t>STOP</t>
  </si>
  <si>
    <t>PREVIOUS</t>
  </si>
  <si>
    <t>NEXT</t>
  </si>
  <si>
    <t>REWIND</t>
  </si>
  <si>
    <t>ENTER</t>
  </si>
  <si>
    <t>0x15</t>
  </si>
  <si>
    <t>0x18</t>
  </si>
  <si>
    <t>0x08</t>
  </si>
  <si>
    <t>0x0A</t>
  </si>
  <si>
    <t>0x03</t>
  </si>
  <si>
    <t>0x0D</t>
  </si>
  <si>
    <t>0x44</t>
  </si>
  <si>
    <t>0x0F</t>
  </si>
  <si>
    <t>0x05</t>
  </si>
  <si>
    <t>0x07</t>
  </si>
  <si>
    <t>0x02</t>
  </si>
  <si>
    <t>0x1E</t>
  </si>
  <si>
    <t>0x09</t>
  </si>
  <si>
    <t>0x1D</t>
  </si>
  <si>
    <t>0x1F</t>
  </si>
  <si>
    <t>0x5E</t>
  </si>
  <si>
    <t>0x19</t>
  </si>
  <si>
    <t>0x1B</t>
  </si>
  <si>
    <t>0x11</t>
  </si>
  <si>
    <t>0x06</t>
  </si>
  <si>
    <t>0x17</t>
  </si>
  <si>
    <t>0x12</t>
  </si>
  <si>
    <t>0x48</t>
  </si>
  <si>
    <t>0x0E</t>
  </si>
  <si>
    <t>0x1A</t>
  </si>
  <si>
    <t>0x01</t>
  </si>
  <si>
    <t>UP</t>
  </si>
  <si>
    <t>DOWN</t>
  </si>
  <si>
    <t>LEFT</t>
  </si>
  <si>
    <t>RIGHT</t>
  </si>
  <si>
    <t>POWER</t>
  </si>
  <si>
    <t>DISPLAY</t>
  </si>
  <si>
    <t>OK</t>
  </si>
  <si>
    <t>MEDIA</t>
  </si>
  <si>
    <t>MUSIC</t>
  </si>
  <si>
    <t>VIDEO</t>
  </si>
  <si>
    <t>PHOTOS</t>
  </si>
  <si>
    <t>GUIDE</t>
  </si>
  <si>
    <t>BACK</t>
  </si>
  <si>
    <t>MORE</t>
  </si>
  <si>
    <t>PLAY</t>
  </si>
  <si>
    <t>RECORD</t>
  </si>
  <si>
    <t>PAUSE</t>
  </si>
  <si>
    <t>CLEAR</t>
  </si>
  <si>
    <t>RC6 Code (address 0x04)</t>
  </si>
  <si>
    <t>TEXT</t>
  </si>
  <si>
    <t>PRINT</t>
  </si>
  <si>
    <t>RED</t>
  </si>
  <si>
    <t>GREEN</t>
  </si>
  <si>
    <t>YELLOW</t>
  </si>
  <si>
    <t>BLUE</t>
  </si>
  <si>
    <t>RECORDED_TV</t>
  </si>
  <si>
    <t>LIVE_TV</t>
  </si>
  <si>
    <t>ASPECT</t>
  </si>
  <si>
    <t>SLIDE_SHOW</t>
  </si>
  <si>
    <t>VOL_UP</t>
  </si>
  <si>
    <t>VOL_DOWN</t>
  </si>
  <si>
    <t>CHANNEL_UP</t>
  </si>
  <si>
    <t>CHANNEL_DOWN</t>
  </si>
  <si>
    <t>EJECT</t>
  </si>
  <si>
    <t>NUM_1</t>
  </si>
  <si>
    <t>NUM_2</t>
  </si>
  <si>
    <t>NUM_3</t>
  </si>
  <si>
    <t>NUM_4</t>
  </si>
  <si>
    <t>NUM_5</t>
  </si>
  <si>
    <t>NUM_6</t>
  </si>
  <si>
    <t>NUM_7</t>
  </si>
  <si>
    <t>NUM_8</t>
  </si>
  <si>
    <t>NUM_9</t>
  </si>
  <si>
    <t>NUM_0</t>
  </si>
  <si>
    <t>NUM_STAR</t>
  </si>
  <si>
    <t>NUM_POUND</t>
  </si>
  <si>
    <t>0x0C</t>
  </si>
  <si>
    <t>0x5A</t>
  </si>
  <si>
    <t>0x4E</t>
  </si>
  <si>
    <t>0x5B</t>
  </si>
  <si>
    <t>0x5C</t>
  </si>
  <si>
    <t>0x5D</t>
  </si>
  <si>
    <t>0x26</t>
  </si>
  <si>
    <t>0x25</t>
  </si>
  <si>
    <t>0x27</t>
  </si>
  <si>
    <t>0x33</t>
  </si>
  <si>
    <t>0x23</t>
  </si>
  <si>
    <t>0x20</t>
  </si>
  <si>
    <t>0x21</t>
  </si>
  <si>
    <t>0x22</t>
  </si>
  <si>
    <t>0x10</t>
  </si>
  <si>
    <t>0x13</t>
  </si>
  <si>
    <t>0x34</t>
  </si>
  <si>
    <t>0x16</t>
  </si>
  <si>
    <t>PLAY_PAUSE</t>
  </si>
  <si>
    <t>0x04</t>
  </si>
  <si>
    <t>0x00</t>
  </si>
  <si>
    <t>0x1C</t>
  </si>
  <si>
    <t>0x0B</t>
  </si>
  <si>
    <t>guess?</t>
  </si>
  <si>
    <t>FULLSCREEN</t>
  </si>
  <si>
    <t>DVD_MENU</t>
  </si>
  <si>
    <t>0x24</t>
  </si>
  <si>
    <t>Type</t>
  </si>
  <si>
    <t>MCE</t>
  </si>
  <si>
    <t>DEVICE</t>
  </si>
  <si>
    <t>FASTFORWARD</t>
  </si>
  <si>
    <t>PRESET_1</t>
  </si>
  <si>
    <t>PRESET_2</t>
  </si>
  <si>
    <t>PRESET_3</t>
  </si>
  <si>
    <t>PRESET_4</t>
  </si>
  <si>
    <t>WHEEL_CW</t>
  </si>
  <si>
    <t>WHEEL_CCW</t>
  </si>
  <si>
    <t>WHEEL_CLICK</t>
  </si>
  <si>
    <t>Prefix</t>
  </si>
  <si>
    <t>Prefixed Label</t>
  </si>
  <si>
    <t>Code</t>
  </si>
  <si>
    <t>#define</t>
  </si>
  <si>
    <t>INPUT_USB</t>
  </si>
  <si>
    <t>INPUT_AUX</t>
  </si>
  <si>
    <t>AUDIO_SRS</t>
  </si>
  <si>
    <t>AUDIO_MENU</t>
  </si>
  <si>
    <t>AUDIO_HEADPHONE</t>
  </si>
  <si>
    <t>AUDIO_RESET</t>
  </si>
  <si>
    <t>NEC Code (Address 0x10)</t>
  </si>
  <si>
    <t>0x43</t>
  </si>
  <si>
    <t>0x29</t>
  </si>
  <si>
    <t>0x2A</t>
  </si>
  <si>
    <t>0x2B</t>
  </si>
  <si>
    <t>0x2E</t>
  </si>
  <si>
    <t>0x2F</t>
  </si>
  <si>
    <t>0x30</t>
  </si>
  <si>
    <t>0x31</t>
  </si>
  <si>
    <t>0x42</t>
  </si>
  <si>
    <t>0x49</t>
  </si>
  <si>
    <t>0x2D</t>
  </si>
  <si>
    <t>0x28</t>
  </si>
  <si>
    <t>0x2C</t>
  </si>
  <si>
    <t>0x35</t>
  </si>
  <si>
    <t>0x36</t>
  </si>
  <si>
    <t>0x37</t>
  </si>
  <si>
    <t>0x38</t>
  </si>
  <si>
    <t>0x39</t>
  </si>
  <si>
    <t>0x3A</t>
  </si>
  <si>
    <t>0x3B</t>
  </si>
  <si>
    <t>0x32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</si>
</sst>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2F7D-EC30-4E0B-9D4C-B9C79C5820FA}">
  <dimension ref="A1:F51"/>
  <sheetViews>
    <sheetView tabSelected="1" workbookViewId="0">
      <selection activeCell="I13" sqref="I13"/>
    </sheetView>
  </sheetViews>
  <sheetFormatPr defaultRowHeight="15" x14ac:dyDescent="0.25"/>
  <cols>
    <col min="1" max="1" width="16.5703125" bestFit="1" customWidth="1"/>
    <col min="2" max="2" width="22.85546875" bestFit="1" customWidth="1"/>
    <col min="5" max="5" width="26" bestFit="1" customWidth="1"/>
  </cols>
  <sheetData>
    <row r="1" spans="1:6" x14ac:dyDescent="0.25">
      <c r="A1" t="s">
        <v>0</v>
      </c>
      <c r="B1" t="s">
        <v>52</v>
      </c>
      <c r="D1" t="s">
        <v>118</v>
      </c>
      <c r="E1" t="s">
        <v>119</v>
      </c>
      <c r="F1" t="s">
        <v>120</v>
      </c>
    </row>
    <row r="2" spans="1:6" x14ac:dyDescent="0.25">
      <c r="A2" t="s">
        <v>38</v>
      </c>
      <c r="B2" t="s">
        <v>80</v>
      </c>
      <c r="D2" t="s">
        <v>121</v>
      </c>
      <c r="E2" t="str">
        <f>_xlfn.CONCAT("MCE_KEY_", A2)</f>
        <v>MCE_KEY_POWER</v>
      </c>
      <c r="F2" t="str">
        <f>SUBSTITUTE(B2, "0x", "0x01")</f>
        <v>0x010C</v>
      </c>
    </row>
    <row r="3" spans="1:6" x14ac:dyDescent="0.25">
      <c r="A3" t="s">
        <v>53</v>
      </c>
      <c r="B3" t="s">
        <v>81</v>
      </c>
      <c r="D3" t="s">
        <v>121</v>
      </c>
      <c r="E3" t="str">
        <f t="shared" ref="E3:E51" si="0">_xlfn.CONCAT("MCE_KEY_", A3)</f>
        <v>MCE_KEY_TEXT</v>
      </c>
      <c r="F3" t="str">
        <f t="shared" ref="F3:F51" si="1">SUBSTITUTE(B3, "0x", "0x01")</f>
        <v>0x015A</v>
      </c>
    </row>
    <row r="4" spans="1:6" x14ac:dyDescent="0.25">
      <c r="A4" t="s">
        <v>54</v>
      </c>
      <c r="B4" t="s">
        <v>82</v>
      </c>
      <c r="D4" t="s">
        <v>121</v>
      </c>
      <c r="E4" t="str">
        <f t="shared" si="0"/>
        <v>MCE_KEY_PRINT</v>
      </c>
      <c r="F4" t="str">
        <f t="shared" si="1"/>
        <v>0x014E</v>
      </c>
    </row>
    <row r="5" spans="1:6" x14ac:dyDescent="0.25">
      <c r="A5" t="s">
        <v>55</v>
      </c>
      <c r="B5" t="s">
        <v>83</v>
      </c>
      <c r="D5" t="s">
        <v>121</v>
      </c>
      <c r="E5" t="str">
        <f t="shared" si="0"/>
        <v>MCE_KEY_RED</v>
      </c>
      <c r="F5" t="str">
        <f t="shared" si="1"/>
        <v>0x015B</v>
      </c>
    </row>
    <row r="6" spans="1:6" x14ac:dyDescent="0.25">
      <c r="A6" t="s">
        <v>56</v>
      </c>
      <c r="B6" t="s">
        <v>84</v>
      </c>
      <c r="D6" t="s">
        <v>121</v>
      </c>
      <c r="E6" t="str">
        <f t="shared" si="0"/>
        <v>MCE_KEY_GREEN</v>
      </c>
      <c r="F6" t="str">
        <f t="shared" si="1"/>
        <v>0x015C</v>
      </c>
    </row>
    <row r="7" spans="1:6" x14ac:dyDescent="0.25">
      <c r="A7" t="s">
        <v>57</v>
      </c>
      <c r="B7" t="s">
        <v>85</v>
      </c>
      <c r="D7" t="s">
        <v>121</v>
      </c>
      <c r="E7" t="str">
        <f t="shared" si="0"/>
        <v>MCE_KEY_YELLOW</v>
      </c>
      <c r="F7" t="str">
        <f t="shared" si="1"/>
        <v>0x015D</v>
      </c>
    </row>
    <row r="8" spans="1:6" x14ac:dyDescent="0.25">
      <c r="A8" t="s">
        <v>58</v>
      </c>
      <c r="B8" t="s">
        <v>23</v>
      </c>
      <c r="D8" t="s">
        <v>121</v>
      </c>
      <c r="E8" t="str">
        <f t="shared" si="0"/>
        <v>MCE_KEY_BLUE</v>
      </c>
      <c r="F8" t="str">
        <f t="shared" si="1"/>
        <v>0x015E</v>
      </c>
    </row>
    <row r="9" spans="1:6" x14ac:dyDescent="0.25">
      <c r="A9" t="s">
        <v>105</v>
      </c>
      <c r="B9" t="s">
        <v>106</v>
      </c>
      <c r="D9" t="s">
        <v>121</v>
      </c>
      <c r="E9" t="str">
        <f t="shared" si="0"/>
        <v>MCE_KEY_DVD_MENU</v>
      </c>
      <c r="F9" t="str">
        <f t="shared" si="1"/>
        <v>0x0124</v>
      </c>
    </row>
    <row r="10" spans="1:6" x14ac:dyDescent="0.25">
      <c r="A10" t="s">
        <v>59</v>
      </c>
      <c r="B10" t="s">
        <v>30</v>
      </c>
      <c r="D10" t="s">
        <v>121</v>
      </c>
      <c r="E10" t="str">
        <f t="shared" si="0"/>
        <v>MCE_KEY_RECORDED_TV</v>
      </c>
      <c r="F10" t="str">
        <f t="shared" si="1"/>
        <v>0x0148</v>
      </c>
    </row>
    <row r="11" spans="1:6" x14ac:dyDescent="0.25">
      <c r="A11" t="s">
        <v>45</v>
      </c>
      <c r="B11" t="s">
        <v>86</v>
      </c>
      <c r="D11" t="s">
        <v>121</v>
      </c>
      <c r="E11" t="str">
        <f t="shared" si="0"/>
        <v>MCE_KEY_GUIDE</v>
      </c>
      <c r="F11" t="str">
        <f t="shared" si="1"/>
        <v>0x0126</v>
      </c>
    </row>
    <row r="12" spans="1:6" x14ac:dyDescent="0.25">
      <c r="A12" t="s">
        <v>60</v>
      </c>
      <c r="B12" t="s">
        <v>87</v>
      </c>
      <c r="D12" t="s">
        <v>121</v>
      </c>
      <c r="E12" t="str">
        <f t="shared" si="0"/>
        <v>MCE_KEY_LIVE_TV</v>
      </c>
      <c r="F12" t="str">
        <f t="shared" si="1"/>
        <v>0x0125</v>
      </c>
    </row>
    <row r="13" spans="1:6" x14ac:dyDescent="0.25">
      <c r="A13" t="s">
        <v>61</v>
      </c>
      <c r="B13" t="s">
        <v>88</v>
      </c>
      <c r="D13" t="s">
        <v>121</v>
      </c>
      <c r="E13" t="str">
        <f t="shared" si="0"/>
        <v>MCE_KEY_ASPECT</v>
      </c>
      <c r="F13" t="str">
        <f t="shared" si="1"/>
        <v>0x0127</v>
      </c>
    </row>
    <row r="14" spans="1:6" x14ac:dyDescent="0.25">
      <c r="A14" t="s">
        <v>62</v>
      </c>
      <c r="B14" t="s">
        <v>89</v>
      </c>
      <c r="D14" t="s">
        <v>121</v>
      </c>
      <c r="E14" t="str">
        <f t="shared" si="0"/>
        <v>MCE_KEY_SLIDE_SHOW</v>
      </c>
      <c r="F14" t="str">
        <f t="shared" si="1"/>
        <v>0x0133</v>
      </c>
    </row>
    <row r="15" spans="1:6" x14ac:dyDescent="0.25">
      <c r="A15" t="s">
        <v>47</v>
      </c>
      <c r="B15" t="s">
        <v>15</v>
      </c>
      <c r="D15" t="s">
        <v>121</v>
      </c>
      <c r="E15" t="str">
        <f t="shared" si="0"/>
        <v>MCE_KEY_MORE</v>
      </c>
      <c r="F15" t="str">
        <f t="shared" si="1"/>
        <v>0x010F</v>
      </c>
    </row>
    <row r="16" spans="1:6" x14ac:dyDescent="0.25">
      <c r="A16" t="s">
        <v>46</v>
      </c>
      <c r="B16" t="s">
        <v>90</v>
      </c>
      <c r="D16" t="s">
        <v>121</v>
      </c>
      <c r="E16" t="str">
        <f t="shared" si="0"/>
        <v>MCE_KEY_BACK</v>
      </c>
      <c r="F16" t="str">
        <f t="shared" si="1"/>
        <v>0x0123</v>
      </c>
    </row>
    <row r="17" spans="1:6" x14ac:dyDescent="0.25">
      <c r="A17" t="s">
        <v>34</v>
      </c>
      <c r="B17" t="s">
        <v>19</v>
      </c>
      <c r="D17" t="s">
        <v>121</v>
      </c>
      <c r="E17" t="str">
        <f t="shared" si="0"/>
        <v>MCE_KEY_UP</v>
      </c>
      <c r="F17" t="str">
        <f t="shared" si="1"/>
        <v>0x011E</v>
      </c>
    </row>
    <row r="18" spans="1:6" x14ac:dyDescent="0.25">
      <c r="A18" t="s">
        <v>35</v>
      </c>
      <c r="B18" t="s">
        <v>22</v>
      </c>
      <c r="D18" t="s">
        <v>121</v>
      </c>
      <c r="E18" t="str">
        <f t="shared" si="0"/>
        <v>MCE_KEY_DOWN</v>
      </c>
      <c r="F18" t="str">
        <f t="shared" si="1"/>
        <v>0x011F</v>
      </c>
    </row>
    <row r="19" spans="1:6" x14ac:dyDescent="0.25">
      <c r="A19" t="s">
        <v>36</v>
      </c>
      <c r="B19" t="s">
        <v>91</v>
      </c>
      <c r="D19" t="s">
        <v>121</v>
      </c>
      <c r="E19" t="str">
        <f t="shared" si="0"/>
        <v>MCE_KEY_LEFT</v>
      </c>
      <c r="F19" t="str">
        <f t="shared" si="1"/>
        <v>0x0120</v>
      </c>
    </row>
    <row r="20" spans="1:6" x14ac:dyDescent="0.25">
      <c r="A20" t="s">
        <v>37</v>
      </c>
      <c r="B20" t="s">
        <v>92</v>
      </c>
      <c r="D20" t="s">
        <v>121</v>
      </c>
      <c r="E20" t="str">
        <f t="shared" si="0"/>
        <v>MCE_KEY_RIGHT</v>
      </c>
      <c r="F20" t="str">
        <f t="shared" si="1"/>
        <v>0x0121</v>
      </c>
    </row>
    <row r="21" spans="1:6" x14ac:dyDescent="0.25">
      <c r="A21" t="s">
        <v>40</v>
      </c>
      <c r="B21" t="s">
        <v>93</v>
      </c>
      <c r="D21" t="s">
        <v>121</v>
      </c>
      <c r="E21" t="str">
        <f t="shared" si="0"/>
        <v>MCE_KEY_OK</v>
      </c>
      <c r="F21" t="str">
        <f t="shared" si="1"/>
        <v>0x0122</v>
      </c>
    </row>
    <row r="22" spans="1:6" x14ac:dyDescent="0.25">
      <c r="A22" t="s">
        <v>41</v>
      </c>
      <c r="B22" t="s">
        <v>13</v>
      </c>
      <c r="D22" t="s">
        <v>121</v>
      </c>
      <c r="E22" t="str">
        <f t="shared" si="0"/>
        <v>MCE_KEY_MEDIA</v>
      </c>
      <c r="F22" t="str">
        <f t="shared" si="1"/>
        <v>0x010D</v>
      </c>
    </row>
    <row r="23" spans="1:6" x14ac:dyDescent="0.25">
      <c r="A23" t="s">
        <v>63</v>
      </c>
      <c r="B23" t="s">
        <v>94</v>
      </c>
      <c r="D23" t="s">
        <v>121</v>
      </c>
      <c r="E23" t="str">
        <f t="shared" si="0"/>
        <v>MCE_KEY_VOL_UP</v>
      </c>
      <c r="F23" t="str">
        <f t="shared" si="1"/>
        <v>0x0110</v>
      </c>
    </row>
    <row r="24" spans="1:6" x14ac:dyDescent="0.25">
      <c r="A24" t="s">
        <v>64</v>
      </c>
      <c r="B24" t="s">
        <v>26</v>
      </c>
      <c r="D24" t="s">
        <v>121</v>
      </c>
      <c r="E24" t="str">
        <f t="shared" si="0"/>
        <v>MCE_KEY_VOL_DOWN</v>
      </c>
      <c r="F24" t="str">
        <f t="shared" si="1"/>
        <v>0x0111</v>
      </c>
    </row>
    <row r="25" spans="1:6" x14ac:dyDescent="0.25">
      <c r="A25" t="s">
        <v>65</v>
      </c>
      <c r="B25" t="s">
        <v>29</v>
      </c>
      <c r="D25" t="s">
        <v>121</v>
      </c>
      <c r="E25" t="str">
        <f t="shared" si="0"/>
        <v>MCE_KEY_CHANNEL_UP</v>
      </c>
      <c r="F25" t="str">
        <f t="shared" si="1"/>
        <v>0x0112</v>
      </c>
    </row>
    <row r="26" spans="1:6" x14ac:dyDescent="0.25">
      <c r="A26" t="s">
        <v>66</v>
      </c>
      <c r="B26" t="s">
        <v>95</v>
      </c>
      <c r="D26" t="s">
        <v>121</v>
      </c>
      <c r="E26" t="str">
        <f t="shared" si="0"/>
        <v>MCE_KEY_CHANNEL_DOWN</v>
      </c>
      <c r="F26" t="str">
        <f t="shared" si="1"/>
        <v>0x0113</v>
      </c>
    </row>
    <row r="27" spans="1:6" x14ac:dyDescent="0.25">
      <c r="A27" t="s">
        <v>1</v>
      </c>
      <c r="B27" t="s">
        <v>31</v>
      </c>
      <c r="D27" t="s">
        <v>121</v>
      </c>
      <c r="E27" t="str">
        <f t="shared" si="0"/>
        <v>MCE_KEY_MUTE</v>
      </c>
      <c r="F27" t="str">
        <f t="shared" si="1"/>
        <v>0x010E</v>
      </c>
    </row>
    <row r="28" spans="1:6" x14ac:dyDescent="0.25">
      <c r="A28" t="s">
        <v>49</v>
      </c>
      <c r="B28" t="s">
        <v>28</v>
      </c>
      <c r="D28" t="s">
        <v>121</v>
      </c>
      <c r="E28" t="str">
        <f t="shared" si="0"/>
        <v>MCE_KEY_RECORD</v>
      </c>
      <c r="F28" t="str">
        <f t="shared" si="1"/>
        <v>0x0117</v>
      </c>
    </row>
    <row r="29" spans="1:6" x14ac:dyDescent="0.25">
      <c r="A29" t="s">
        <v>67</v>
      </c>
      <c r="B29" t="s">
        <v>96</v>
      </c>
      <c r="D29" t="s">
        <v>121</v>
      </c>
      <c r="E29" t="str">
        <f t="shared" si="0"/>
        <v>MCE_KEY_EJECT</v>
      </c>
      <c r="F29" t="str">
        <f t="shared" si="1"/>
        <v>0x0134</v>
      </c>
    </row>
    <row r="30" spans="1:6" x14ac:dyDescent="0.25">
      <c r="A30" t="s">
        <v>6</v>
      </c>
      <c r="B30" t="s">
        <v>8</v>
      </c>
      <c r="D30" t="s">
        <v>121</v>
      </c>
      <c r="E30" t="str">
        <f t="shared" si="0"/>
        <v>MCE_KEY_REWIND</v>
      </c>
      <c r="F30" t="str">
        <f t="shared" si="1"/>
        <v>0x0115</v>
      </c>
    </row>
    <row r="31" spans="1:6" x14ac:dyDescent="0.25">
      <c r="A31" t="s">
        <v>110</v>
      </c>
      <c r="B31" t="s">
        <v>2</v>
      </c>
      <c r="D31" t="s">
        <v>121</v>
      </c>
      <c r="E31" t="str">
        <f t="shared" si="0"/>
        <v>MCE_KEY_FASTFORWARD</v>
      </c>
      <c r="F31" t="str">
        <f t="shared" si="1"/>
        <v>0x0114</v>
      </c>
    </row>
    <row r="32" spans="1:6" x14ac:dyDescent="0.25">
      <c r="A32" t="s">
        <v>4</v>
      </c>
      <c r="B32" t="s">
        <v>25</v>
      </c>
      <c r="D32" t="s">
        <v>121</v>
      </c>
      <c r="E32" t="str">
        <f t="shared" si="0"/>
        <v>MCE_KEY_PREVIOUS</v>
      </c>
      <c r="F32" t="str">
        <f t="shared" si="1"/>
        <v>0x011B</v>
      </c>
    </row>
    <row r="33" spans="1:6" x14ac:dyDescent="0.25">
      <c r="A33" t="s">
        <v>5</v>
      </c>
      <c r="B33" t="s">
        <v>32</v>
      </c>
      <c r="D33" t="s">
        <v>121</v>
      </c>
      <c r="E33" t="str">
        <f t="shared" si="0"/>
        <v>MCE_KEY_NEXT</v>
      </c>
      <c r="F33" t="str">
        <f t="shared" si="1"/>
        <v>0x011A</v>
      </c>
    </row>
    <row r="34" spans="1:6" x14ac:dyDescent="0.25">
      <c r="A34" t="s">
        <v>48</v>
      </c>
      <c r="B34" t="s">
        <v>97</v>
      </c>
      <c r="D34" t="s">
        <v>121</v>
      </c>
      <c r="E34" t="str">
        <f t="shared" si="0"/>
        <v>MCE_KEY_PLAY</v>
      </c>
      <c r="F34" t="str">
        <f t="shared" si="1"/>
        <v>0x0116</v>
      </c>
    </row>
    <row r="35" spans="1:6" x14ac:dyDescent="0.25">
      <c r="A35" t="s">
        <v>98</v>
      </c>
      <c r="B35" t="s">
        <v>28</v>
      </c>
      <c r="C35" t="s">
        <v>103</v>
      </c>
      <c r="D35" t="s">
        <v>121</v>
      </c>
      <c r="E35" t="str">
        <f t="shared" si="0"/>
        <v>MCE_KEY_PLAY_PAUSE</v>
      </c>
      <c r="F35" t="str">
        <f t="shared" si="1"/>
        <v>0x0117</v>
      </c>
    </row>
    <row r="36" spans="1:6" x14ac:dyDescent="0.25">
      <c r="A36" t="s">
        <v>50</v>
      </c>
      <c r="B36" t="s">
        <v>9</v>
      </c>
      <c r="D36" t="s">
        <v>121</v>
      </c>
      <c r="E36" t="str">
        <f t="shared" si="0"/>
        <v>MCE_KEY_PAUSE</v>
      </c>
      <c r="F36" t="str">
        <f t="shared" si="1"/>
        <v>0x0118</v>
      </c>
    </row>
    <row r="37" spans="1:6" x14ac:dyDescent="0.25">
      <c r="A37" t="s">
        <v>3</v>
      </c>
      <c r="B37" t="s">
        <v>24</v>
      </c>
      <c r="D37" t="s">
        <v>121</v>
      </c>
      <c r="E37" t="str">
        <f t="shared" si="0"/>
        <v>MCE_KEY_STOP</v>
      </c>
      <c r="F37" t="str">
        <f t="shared" si="1"/>
        <v>0x0119</v>
      </c>
    </row>
    <row r="38" spans="1:6" x14ac:dyDescent="0.25">
      <c r="A38" t="s">
        <v>68</v>
      </c>
      <c r="B38" t="s">
        <v>33</v>
      </c>
      <c r="D38" t="s">
        <v>121</v>
      </c>
      <c r="E38" t="str">
        <f t="shared" si="0"/>
        <v>MCE_KEY_NUM_1</v>
      </c>
      <c r="F38" t="str">
        <f t="shared" si="1"/>
        <v>0x0101</v>
      </c>
    </row>
    <row r="39" spans="1:6" x14ac:dyDescent="0.25">
      <c r="A39" t="s">
        <v>69</v>
      </c>
      <c r="B39" t="s">
        <v>18</v>
      </c>
      <c r="D39" t="s">
        <v>121</v>
      </c>
      <c r="E39" t="str">
        <f t="shared" si="0"/>
        <v>MCE_KEY_NUM_2</v>
      </c>
      <c r="F39" t="str">
        <f t="shared" si="1"/>
        <v>0x0102</v>
      </c>
    </row>
    <row r="40" spans="1:6" x14ac:dyDescent="0.25">
      <c r="A40" t="s">
        <v>70</v>
      </c>
      <c r="B40" t="s">
        <v>12</v>
      </c>
      <c r="D40" t="s">
        <v>121</v>
      </c>
      <c r="E40" t="str">
        <f t="shared" si="0"/>
        <v>MCE_KEY_NUM_3</v>
      </c>
      <c r="F40" t="str">
        <f t="shared" si="1"/>
        <v>0x0103</v>
      </c>
    </row>
    <row r="41" spans="1:6" x14ac:dyDescent="0.25">
      <c r="A41" t="s">
        <v>71</v>
      </c>
      <c r="B41" t="s">
        <v>99</v>
      </c>
      <c r="D41" t="s">
        <v>121</v>
      </c>
      <c r="E41" t="str">
        <f t="shared" si="0"/>
        <v>MCE_KEY_NUM_4</v>
      </c>
      <c r="F41" t="str">
        <f t="shared" si="1"/>
        <v>0x0104</v>
      </c>
    </row>
    <row r="42" spans="1:6" x14ac:dyDescent="0.25">
      <c r="A42" t="s">
        <v>72</v>
      </c>
      <c r="B42" t="s">
        <v>16</v>
      </c>
      <c r="D42" t="s">
        <v>121</v>
      </c>
      <c r="E42" t="str">
        <f t="shared" si="0"/>
        <v>MCE_KEY_NUM_5</v>
      </c>
      <c r="F42" t="str">
        <f t="shared" si="1"/>
        <v>0x0105</v>
      </c>
    </row>
    <row r="43" spans="1:6" x14ac:dyDescent="0.25">
      <c r="A43" t="s">
        <v>73</v>
      </c>
      <c r="B43" t="s">
        <v>27</v>
      </c>
      <c r="D43" t="s">
        <v>121</v>
      </c>
      <c r="E43" t="str">
        <f t="shared" si="0"/>
        <v>MCE_KEY_NUM_6</v>
      </c>
      <c r="F43" t="str">
        <f t="shared" si="1"/>
        <v>0x0106</v>
      </c>
    </row>
    <row r="44" spans="1:6" x14ac:dyDescent="0.25">
      <c r="A44" t="s">
        <v>74</v>
      </c>
      <c r="B44" t="s">
        <v>17</v>
      </c>
      <c r="D44" t="s">
        <v>121</v>
      </c>
      <c r="E44" t="str">
        <f t="shared" si="0"/>
        <v>MCE_KEY_NUM_7</v>
      </c>
      <c r="F44" t="str">
        <f t="shared" si="1"/>
        <v>0x0107</v>
      </c>
    </row>
    <row r="45" spans="1:6" x14ac:dyDescent="0.25">
      <c r="A45" t="s">
        <v>75</v>
      </c>
      <c r="B45" t="s">
        <v>10</v>
      </c>
      <c r="D45" t="s">
        <v>121</v>
      </c>
      <c r="E45" t="str">
        <f t="shared" si="0"/>
        <v>MCE_KEY_NUM_8</v>
      </c>
      <c r="F45" t="str">
        <f t="shared" si="1"/>
        <v>0x0108</v>
      </c>
    </row>
    <row r="46" spans="1:6" x14ac:dyDescent="0.25">
      <c r="A46" t="s">
        <v>76</v>
      </c>
      <c r="B46" t="s">
        <v>20</v>
      </c>
      <c r="D46" t="s">
        <v>121</v>
      </c>
      <c r="E46" t="str">
        <f t="shared" si="0"/>
        <v>MCE_KEY_NUM_9</v>
      </c>
      <c r="F46" t="str">
        <f t="shared" si="1"/>
        <v>0x0109</v>
      </c>
    </row>
    <row r="47" spans="1:6" x14ac:dyDescent="0.25">
      <c r="A47" t="s">
        <v>77</v>
      </c>
      <c r="B47" t="s">
        <v>100</v>
      </c>
      <c r="D47" t="s">
        <v>121</v>
      </c>
      <c r="E47" t="str">
        <f t="shared" si="0"/>
        <v>MCE_KEY_NUM_0</v>
      </c>
      <c r="F47" t="str">
        <f t="shared" si="1"/>
        <v>0x0100</v>
      </c>
    </row>
    <row r="48" spans="1:6" x14ac:dyDescent="0.25">
      <c r="A48" t="s">
        <v>78</v>
      </c>
      <c r="B48" t="s">
        <v>21</v>
      </c>
      <c r="D48" t="s">
        <v>121</v>
      </c>
      <c r="E48" t="str">
        <f t="shared" si="0"/>
        <v>MCE_KEY_NUM_STAR</v>
      </c>
      <c r="F48" t="str">
        <f t="shared" si="1"/>
        <v>0x011D</v>
      </c>
    </row>
    <row r="49" spans="1:6" x14ac:dyDescent="0.25">
      <c r="A49" t="s">
        <v>79</v>
      </c>
      <c r="B49" t="s">
        <v>101</v>
      </c>
      <c r="D49" t="s">
        <v>121</v>
      </c>
      <c r="E49" t="str">
        <f t="shared" si="0"/>
        <v>MCE_KEY_NUM_POUND</v>
      </c>
      <c r="F49" t="str">
        <f t="shared" si="1"/>
        <v>0x011C</v>
      </c>
    </row>
    <row r="50" spans="1:6" x14ac:dyDescent="0.25">
      <c r="A50" t="s">
        <v>51</v>
      </c>
      <c r="B50" t="s">
        <v>11</v>
      </c>
      <c r="D50" t="s">
        <v>121</v>
      </c>
      <c r="E50" t="str">
        <f t="shared" si="0"/>
        <v>MCE_KEY_CLEAR</v>
      </c>
      <c r="F50" t="str">
        <f t="shared" si="1"/>
        <v>0x010A</v>
      </c>
    </row>
    <row r="51" spans="1:6" x14ac:dyDescent="0.25">
      <c r="A51" t="s">
        <v>7</v>
      </c>
      <c r="B51" t="s">
        <v>102</v>
      </c>
      <c r="D51" t="s">
        <v>121</v>
      </c>
      <c r="E51" t="str">
        <f t="shared" si="0"/>
        <v>MCE_KEY_ENTER</v>
      </c>
      <c r="F51" t="str">
        <f t="shared" si="1"/>
        <v>0x010B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9BA0-9996-4288-8FB3-95A748F4FE67}">
  <dimension ref="A1:G57"/>
  <sheetViews>
    <sheetView topLeftCell="A49" workbookViewId="0">
      <selection activeCell="E2" sqref="E2:G57"/>
    </sheetView>
  </sheetViews>
  <sheetFormatPr defaultRowHeight="15" x14ac:dyDescent="0.25"/>
  <cols>
    <col min="1" max="1" width="16.5703125" bestFit="1" customWidth="1"/>
    <col min="2" max="2" width="23.42578125" bestFit="1" customWidth="1"/>
    <col min="6" max="6" width="25" bestFit="1" customWidth="1"/>
  </cols>
  <sheetData>
    <row r="1" spans="1:7" x14ac:dyDescent="0.25">
      <c r="A1" t="s">
        <v>0</v>
      </c>
      <c r="B1" t="s">
        <v>128</v>
      </c>
      <c r="C1" t="s">
        <v>107</v>
      </c>
      <c r="E1" t="s">
        <v>118</v>
      </c>
      <c r="F1" t="s">
        <v>119</v>
      </c>
      <c r="G1" t="s">
        <v>120</v>
      </c>
    </row>
    <row r="2" spans="1:7" x14ac:dyDescent="0.25">
      <c r="A2" t="s">
        <v>1</v>
      </c>
      <c r="B2" t="s">
        <v>10</v>
      </c>
      <c r="C2" t="s">
        <v>108</v>
      </c>
      <c r="E2" t="s">
        <v>121</v>
      </c>
      <c r="F2" t="str">
        <f>_xlfn.CONCAT("LZC_KEY_", A2)</f>
        <v>LZC_KEY_MUTE</v>
      </c>
      <c r="G2" t="str">
        <f>SUBSTITUTE(B2, "0x", "0x02")</f>
        <v>0x0208</v>
      </c>
    </row>
    <row r="3" spans="1:7" x14ac:dyDescent="0.25">
      <c r="A3" t="s">
        <v>41</v>
      </c>
      <c r="B3" t="s">
        <v>101</v>
      </c>
      <c r="C3" t="s">
        <v>108</v>
      </c>
      <c r="E3" t="s">
        <v>121</v>
      </c>
      <c r="F3" t="str">
        <f t="shared" ref="F3:F57" si="0">_xlfn.CONCAT("LZC_KEY_", A3)</f>
        <v>LZC_KEY_MEDIA</v>
      </c>
      <c r="G3" t="str">
        <f t="shared" ref="G3:G57" si="1">SUBSTITUTE(B3, "0x", "0x02")</f>
        <v>0x021C</v>
      </c>
    </row>
    <row r="4" spans="1:7" x14ac:dyDescent="0.25">
      <c r="A4" t="s">
        <v>38</v>
      </c>
      <c r="B4" t="s">
        <v>33</v>
      </c>
      <c r="C4" t="s">
        <v>108</v>
      </c>
      <c r="E4" t="s">
        <v>121</v>
      </c>
      <c r="F4" t="str">
        <f t="shared" si="0"/>
        <v>LZC_KEY_POWER</v>
      </c>
      <c r="G4" t="str">
        <f t="shared" si="1"/>
        <v>0x0201</v>
      </c>
    </row>
    <row r="5" spans="1:7" x14ac:dyDescent="0.25">
      <c r="A5" t="s">
        <v>122</v>
      </c>
      <c r="B5" t="s">
        <v>15</v>
      </c>
      <c r="C5" t="s">
        <v>109</v>
      </c>
      <c r="E5" t="s">
        <v>121</v>
      </c>
      <c r="F5" t="str">
        <f t="shared" si="0"/>
        <v>LZC_KEY_INPUT_USB</v>
      </c>
      <c r="G5" t="str">
        <f t="shared" si="1"/>
        <v>0x020F</v>
      </c>
    </row>
    <row r="6" spans="1:7" x14ac:dyDescent="0.25">
      <c r="A6" t="s">
        <v>123</v>
      </c>
      <c r="B6" t="s">
        <v>94</v>
      </c>
      <c r="C6" t="s">
        <v>109</v>
      </c>
      <c r="E6" t="s">
        <v>121</v>
      </c>
      <c r="F6" t="str">
        <f t="shared" si="0"/>
        <v>LZC_KEY_INPUT_AUX</v>
      </c>
      <c r="G6" t="str">
        <f t="shared" si="1"/>
        <v>0x0210</v>
      </c>
    </row>
    <row r="7" spans="1:7" x14ac:dyDescent="0.25">
      <c r="A7" t="s">
        <v>39</v>
      </c>
      <c r="B7" t="s">
        <v>26</v>
      </c>
      <c r="C7" t="s">
        <v>109</v>
      </c>
      <c r="E7" t="s">
        <v>121</v>
      </c>
      <c r="F7" t="str">
        <f t="shared" si="0"/>
        <v>LZC_KEY_DISPLAY</v>
      </c>
      <c r="G7" t="str">
        <f t="shared" si="1"/>
        <v>0x0211</v>
      </c>
    </row>
    <row r="8" spans="1:7" x14ac:dyDescent="0.25">
      <c r="A8" t="s">
        <v>42</v>
      </c>
      <c r="B8" t="s">
        <v>29</v>
      </c>
      <c r="C8" t="s">
        <v>108</v>
      </c>
      <c r="E8" t="s">
        <v>121</v>
      </c>
      <c r="F8" t="str">
        <f t="shared" si="0"/>
        <v>LZC_KEY_MUSIC</v>
      </c>
      <c r="G8" t="str">
        <f t="shared" si="1"/>
        <v>0x0212</v>
      </c>
    </row>
    <row r="9" spans="1:7" x14ac:dyDescent="0.25">
      <c r="A9" t="s">
        <v>43</v>
      </c>
      <c r="B9" t="s">
        <v>95</v>
      </c>
      <c r="C9" t="s">
        <v>108</v>
      </c>
      <c r="E9" t="s">
        <v>121</v>
      </c>
      <c r="F9" t="str">
        <f t="shared" si="0"/>
        <v>LZC_KEY_VIDEO</v>
      </c>
      <c r="G9" t="str">
        <f t="shared" si="1"/>
        <v>0x0213</v>
      </c>
    </row>
    <row r="10" spans="1:7" x14ac:dyDescent="0.25">
      <c r="A10" t="s">
        <v>44</v>
      </c>
      <c r="B10" t="s">
        <v>2</v>
      </c>
      <c r="C10" t="s">
        <v>108</v>
      </c>
      <c r="E10" t="s">
        <v>121</v>
      </c>
      <c r="F10" t="str">
        <f t="shared" si="0"/>
        <v>LZC_KEY_PHOTOS</v>
      </c>
      <c r="G10" t="str">
        <f t="shared" si="1"/>
        <v>0x0214</v>
      </c>
    </row>
    <row r="11" spans="1:7" x14ac:dyDescent="0.25">
      <c r="A11" t="s">
        <v>59</v>
      </c>
      <c r="B11" t="s">
        <v>87</v>
      </c>
      <c r="C11" t="s">
        <v>108</v>
      </c>
      <c r="E11" t="s">
        <v>121</v>
      </c>
      <c r="F11" t="str">
        <f t="shared" si="0"/>
        <v>LZC_KEY_RECORDED_TV</v>
      </c>
      <c r="G11" t="str">
        <f t="shared" si="1"/>
        <v>0x0225</v>
      </c>
    </row>
    <row r="12" spans="1:7" x14ac:dyDescent="0.25">
      <c r="A12" t="s">
        <v>60</v>
      </c>
      <c r="B12" t="s">
        <v>19</v>
      </c>
      <c r="C12" t="s">
        <v>108</v>
      </c>
      <c r="E12" t="s">
        <v>121</v>
      </c>
      <c r="F12" t="str">
        <f t="shared" si="0"/>
        <v>LZC_KEY_LIVE_TV</v>
      </c>
      <c r="G12" t="str">
        <f t="shared" si="1"/>
        <v>0x021E</v>
      </c>
    </row>
    <row r="13" spans="1:7" x14ac:dyDescent="0.25">
      <c r="A13" t="s">
        <v>104</v>
      </c>
      <c r="B13" t="s">
        <v>28</v>
      </c>
      <c r="C13" t="s">
        <v>108</v>
      </c>
      <c r="E13" t="s">
        <v>121</v>
      </c>
      <c r="F13" t="str">
        <f t="shared" si="0"/>
        <v>LZC_KEY_FULLSCREEN</v>
      </c>
      <c r="G13" t="str">
        <f t="shared" si="1"/>
        <v>0x0217</v>
      </c>
    </row>
    <row r="14" spans="1:7" x14ac:dyDescent="0.25">
      <c r="A14" t="s">
        <v>45</v>
      </c>
      <c r="B14" t="s">
        <v>106</v>
      </c>
      <c r="C14" t="s">
        <v>108</v>
      </c>
      <c r="E14" t="s">
        <v>121</v>
      </c>
      <c r="F14" t="str">
        <f t="shared" si="0"/>
        <v>LZC_KEY_GUIDE</v>
      </c>
      <c r="G14" t="str">
        <f t="shared" si="1"/>
        <v>0x0224</v>
      </c>
    </row>
    <row r="15" spans="1:7" x14ac:dyDescent="0.25">
      <c r="A15" t="s">
        <v>105</v>
      </c>
      <c r="B15" t="s">
        <v>21</v>
      </c>
      <c r="C15" t="s">
        <v>108</v>
      </c>
      <c r="E15" t="s">
        <v>121</v>
      </c>
      <c r="F15" t="str">
        <f t="shared" si="0"/>
        <v>LZC_KEY_DVD_MENU</v>
      </c>
      <c r="G15" t="str">
        <f t="shared" si="1"/>
        <v>0x021D</v>
      </c>
    </row>
    <row r="16" spans="1:7" x14ac:dyDescent="0.25">
      <c r="A16" t="s">
        <v>46</v>
      </c>
      <c r="B16" t="s">
        <v>90</v>
      </c>
      <c r="C16" t="s">
        <v>108</v>
      </c>
      <c r="E16" t="s">
        <v>121</v>
      </c>
      <c r="F16" t="str">
        <f t="shared" si="0"/>
        <v>LZC_KEY_BACK</v>
      </c>
      <c r="G16" t="str">
        <f t="shared" si="1"/>
        <v>0x0223</v>
      </c>
    </row>
    <row r="17" spans="1:7" x14ac:dyDescent="0.25">
      <c r="A17" t="s">
        <v>47</v>
      </c>
      <c r="B17" t="s">
        <v>129</v>
      </c>
      <c r="C17" t="s">
        <v>108</v>
      </c>
      <c r="E17" t="s">
        <v>121</v>
      </c>
      <c r="F17" t="str">
        <f t="shared" si="0"/>
        <v>LZC_KEY_MORE</v>
      </c>
      <c r="G17" t="str">
        <f t="shared" si="1"/>
        <v>0x0243</v>
      </c>
    </row>
    <row r="18" spans="1:7" x14ac:dyDescent="0.25">
      <c r="A18" t="s">
        <v>65</v>
      </c>
      <c r="B18" t="s">
        <v>130</v>
      </c>
      <c r="C18" t="s">
        <v>108</v>
      </c>
      <c r="E18" t="s">
        <v>121</v>
      </c>
      <c r="F18" t="str">
        <f t="shared" si="0"/>
        <v>LZC_KEY_CHANNEL_UP</v>
      </c>
      <c r="G18" t="str">
        <f t="shared" si="1"/>
        <v>0x0229</v>
      </c>
    </row>
    <row r="19" spans="1:7" x14ac:dyDescent="0.25">
      <c r="A19" t="s">
        <v>66</v>
      </c>
      <c r="B19" t="s">
        <v>131</v>
      </c>
      <c r="C19" t="s">
        <v>108</v>
      </c>
      <c r="E19" t="s">
        <v>121</v>
      </c>
      <c r="F19" t="str">
        <f t="shared" si="0"/>
        <v>LZC_KEY_CHANNEL_DOWN</v>
      </c>
      <c r="G19" t="str">
        <f t="shared" si="1"/>
        <v>0x022A</v>
      </c>
    </row>
    <row r="20" spans="1:7" x14ac:dyDescent="0.25">
      <c r="A20" t="s">
        <v>34</v>
      </c>
      <c r="B20" t="s">
        <v>92</v>
      </c>
      <c r="C20" t="s">
        <v>108</v>
      </c>
      <c r="E20" t="s">
        <v>121</v>
      </c>
      <c r="F20" t="str">
        <f t="shared" si="0"/>
        <v>LZC_KEY_UP</v>
      </c>
      <c r="G20" t="str">
        <f t="shared" si="1"/>
        <v>0x0221</v>
      </c>
    </row>
    <row r="21" spans="1:7" x14ac:dyDescent="0.25">
      <c r="A21" t="s">
        <v>35</v>
      </c>
      <c r="B21" t="s">
        <v>93</v>
      </c>
      <c r="C21" t="s">
        <v>108</v>
      </c>
      <c r="E21" t="s">
        <v>121</v>
      </c>
      <c r="F21" t="str">
        <f t="shared" si="0"/>
        <v>LZC_KEY_DOWN</v>
      </c>
      <c r="G21" t="str">
        <f t="shared" si="1"/>
        <v>0x0222</v>
      </c>
    </row>
    <row r="22" spans="1:7" x14ac:dyDescent="0.25">
      <c r="A22" t="s">
        <v>36</v>
      </c>
      <c r="B22" t="s">
        <v>22</v>
      </c>
      <c r="C22" t="s">
        <v>108</v>
      </c>
      <c r="E22" t="s">
        <v>121</v>
      </c>
      <c r="F22" t="str">
        <f t="shared" si="0"/>
        <v>LZC_KEY_LEFT</v>
      </c>
      <c r="G22" t="str">
        <f t="shared" si="1"/>
        <v>0x021F</v>
      </c>
    </row>
    <row r="23" spans="1:7" x14ac:dyDescent="0.25">
      <c r="A23" t="s">
        <v>37</v>
      </c>
      <c r="B23" t="s">
        <v>91</v>
      </c>
      <c r="C23" t="s">
        <v>108</v>
      </c>
      <c r="E23" t="s">
        <v>121</v>
      </c>
      <c r="F23" t="str">
        <f t="shared" si="0"/>
        <v>LZC_KEY_RIGHT</v>
      </c>
      <c r="G23" t="str">
        <f t="shared" si="1"/>
        <v>0x0220</v>
      </c>
    </row>
    <row r="24" spans="1:7" x14ac:dyDescent="0.25">
      <c r="A24" t="s">
        <v>40</v>
      </c>
      <c r="B24" t="s">
        <v>132</v>
      </c>
      <c r="C24" t="s">
        <v>108</v>
      </c>
      <c r="E24" t="s">
        <v>121</v>
      </c>
      <c r="F24" t="str">
        <f t="shared" si="0"/>
        <v>LZC_KEY_OK</v>
      </c>
      <c r="G24" t="str">
        <f t="shared" si="1"/>
        <v>0x022B</v>
      </c>
    </row>
    <row r="25" spans="1:7" x14ac:dyDescent="0.25">
      <c r="A25" t="s">
        <v>111</v>
      </c>
      <c r="B25" t="s">
        <v>133</v>
      </c>
      <c r="C25" t="s">
        <v>109</v>
      </c>
      <c r="E25" t="s">
        <v>121</v>
      </c>
      <c r="F25" t="str">
        <f t="shared" si="0"/>
        <v>LZC_KEY_PRESET_1</v>
      </c>
      <c r="G25" t="str">
        <f t="shared" si="1"/>
        <v>0x022E</v>
      </c>
    </row>
    <row r="26" spans="1:7" x14ac:dyDescent="0.25">
      <c r="A26" t="s">
        <v>112</v>
      </c>
      <c r="B26" t="s">
        <v>134</v>
      </c>
      <c r="C26" t="s">
        <v>109</v>
      </c>
      <c r="E26" t="s">
        <v>121</v>
      </c>
      <c r="F26" t="str">
        <f t="shared" si="0"/>
        <v>LZC_KEY_PRESET_2</v>
      </c>
      <c r="G26" t="str">
        <f t="shared" si="1"/>
        <v>0x022F</v>
      </c>
    </row>
    <row r="27" spans="1:7" x14ac:dyDescent="0.25">
      <c r="A27" t="s">
        <v>113</v>
      </c>
      <c r="B27" t="s">
        <v>135</v>
      </c>
      <c r="C27" t="s">
        <v>109</v>
      </c>
      <c r="E27" t="s">
        <v>121</v>
      </c>
      <c r="F27" t="str">
        <f t="shared" si="0"/>
        <v>LZC_KEY_PRESET_3</v>
      </c>
      <c r="G27" t="str">
        <f t="shared" si="1"/>
        <v>0x0230</v>
      </c>
    </row>
    <row r="28" spans="1:7" x14ac:dyDescent="0.25">
      <c r="A28" t="s">
        <v>114</v>
      </c>
      <c r="B28" t="s">
        <v>136</v>
      </c>
      <c r="C28" t="s">
        <v>109</v>
      </c>
      <c r="E28" t="s">
        <v>121</v>
      </c>
      <c r="F28" t="str">
        <f t="shared" si="0"/>
        <v>LZC_KEY_PRESET_4</v>
      </c>
      <c r="G28" t="str">
        <f t="shared" si="1"/>
        <v>0x0231</v>
      </c>
    </row>
    <row r="29" spans="1:7" x14ac:dyDescent="0.25">
      <c r="A29" t="s">
        <v>124</v>
      </c>
      <c r="B29" t="s">
        <v>14</v>
      </c>
      <c r="C29" t="s">
        <v>109</v>
      </c>
      <c r="E29" t="s">
        <v>121</v>
      </c>
      <c r="F29" t="str">
        <f t="shared" si="0"/>
        <v>LZC_KEY_AUDIO_SRS</v>
      </c>
      <c r="G29" t="str">
        <f t="shared" si="1"/>
        <v>0x0244</v>
      </c>
    </row>
    <row r="30" spans="1:7" x14ac:dyDescent="0.25">
      <c r="A30" t="s">
        <v>125</v>
      </c>
      <c r="B30" t="s">
        <v>137</v>
      </c>
      <c r="C30" t="s">
        <v>109</v>
      </c>
      <c r="E30" t="s">
        <v>121</v>
      </c>
      <c r="F30" t="str">
        <f t="shared" si="0"/>
        <v>LZC_KEY_AUDIO_MENU</v>
      </c>
      <c r="G30" t="str">
        <f t="shared" si="1"/>
        <v>0x0242</v>
      </c>
    </row>
    <row r="31" spans="1:7" x14ac:dyDescent="0.25">
      <c r="A31" t="s">
        <v>126</v>
      </c>
      <c r="B31" t="s">
        <v>138</v>
      </c>
      <c r="C31" t="s">
        <v>109</v>
      </c>
      <c r="E31" t="s">
        <v>121</v>
      </c>
      <c r="F31" t="str">
        <f t="shared" si="0"/>
        <v>LZC_KEY_AUDIO_HEADPHONE</v>
      </c>
      <c r="G31" t="str">
        <f t="shared" si="1"/>
        <v>0x0249</v>
      </c>
    </row>
    <row r="32" spans="1:7" x14ac:dyDescent="0.25">
      <c r="A32" t="s">
        <v>127</v>
      </c>
      <c r="B32" t="s">
        <v>80</v>
      </c>
      <c r="C32" t="s">
        <v>109</v>
      </c>
      <c r="E32" t="s">
        <v>121</v>
      </c>
      <c r="F32" t="str">
        <f t="shared" si="0"/>
        <v>LZC_KEY_AUDIO_RESET</v>
      </c>
      <c r="G32" t="str">
        <f t="shared" si="1"/>
        <v>0x020C</v>
      </c>
    </row>
    <row r="33" spans="1:7" x14ac:dyDescent="0.25">
      <c r="A33" t="s">
        <v>115</v>
      </c>
      <c r="B33" t="s">
        <v>18</v>
      </c>
      <c r="C33" t="s">
        <v>109</v>
      </c>
      <c r="E33" t="s">
        <v>121</v>
      </c>
      <c r="F33" t="str">
        <f t="shared" si="0"/>
        <v>LZC_KEY_WHEEL_CW</v>
      </c>
      <c r="G33" t="str">
        <f t="shared" si="1"/>
        <v>0x0202</v>
      </c>
    </row>
    <row r="34" spans="1:7" x14ac:dyDescent="0.25">
      <c r="A34" t="s">
        <v>116</v>
      </c>
      <c r="B34" t="s">
        <v>12</v>
      </c>
      <c r="C34" t="s">
        <v>109</v>
      </c>
      <c r="E34" t="s">
        <v>121</v>
      </c>
      <c r="F34" t="str">
        <f t="shared" si="0"/>
        <v>LZC_KEY_WHEEL_CCW</v>
      </c>
      <c r="G34" t="str">
        <f t="shared" si="1"/>
        <v>0x0203</v>
      </c>
    </row>
    <row r="35" spans="1:7" x14ac:dyDescent="0.25">
      <c r="A35" t="s">
        <v>117</v>
      </c>
      <c r="B35" t="s">
        <v>139</v>
      </c>
      <c r="C35" t="s">
        <v>109</v>
      </c>
      <c r="E35" t="s">
        <v>121</v>
      </c>
      <c r="F35" t="str">
        <f t="shared" si="0"/>
        <v>LZC_KEY_WHEEL_CLICK</v>
      </c>
      <c r="G35" t="str">
        <f t="shared" si="1"/>
        <v>0x022D</v>
      </c>
    </row>
    <row r="36" spans="1:7" x14ac:dyDescent="0.25">
      <c r="A36" t="s">
        <v>3</v>
      </c>
      <c r="B36" t="s">
        <v>16</v>
      </c>
      <c r="C36" t="s">
        <v>108</v>
      </c>
      <c r="E36" t="s">
        <v>121</v>
      </c>
      <c r="F36" t="str">
        <f t="shared" si="0"/>
        <v>LZC_KEY_STOP</v>
      </c>
      <c r="G36" t="str">
        <f t="shared" si="1"/>
        <v>0x0205</v>
      </c>
    </row>
    <row r="37" spans="1:7" x14ac:dyDescent="0.25">
      <c r="A37" t="s">
        <v>4</v>
      </c>
      <c r="B37" t="s">
        <v>17</v>
      </c>
      <c r="C37" t="s">
        <v>108</v>
      </c>
      <c r="E37" t="s">
        <v>121</v>
      </c>
      <c r="F37" t="str">
        <f t="shared" si="0"/>
        <v>LZC_KEY_PREVIOUS</v>
      </c>
      <c r="G37" t="str">
        <f t="shared" si="1"/>
        <v>0x0207</v>
      </c>
    </row>
    <row r="38" spans="1:7" x14ac:dyDescent="0.25">
      <c r="A38" t="s">
        <v>5</v>
      </c>
      <c r="B38" t="s">
        <v>27</v>
      </c>
      <c r="C38" t="s">
        <v>108</v>
      </c>
      <c r="E38" t="s">
        <v>121</v>
      </c>
      <c r="F38" t="str">
        <f t="shared" si="0"/>
        <v>LZC_KEY_NEXT</v>
      </c>
      <c r="G38" t="str">
        <f t="shared" si="1"/>
        <v>0x0206</v>
      </c>
    </row>
    <row r="39" spans="1:7" x14ac:dyDescent="0.25">
      <c r="A39" t="s">
        <v>48</v>
      </c>
      <c r="B39" t="s">
        <v>99</v>
      </c>
      <c r="C39" t="s">
        <v>108</v>
      </c>
      <c r="E39" t="s">
        <v>121</v>
      </c>
      <c r="F39" t="str">
        <f t="shared" si="0"/>
        <v>LZC_KEY_PLAY</v>
      </c>
      <c r="G39" t="str">
        <f t="shared" si="1"/>
        <v>0x0204</v>
      </c>
    </row>
    <row r="40" spans="1:7" x14ac:dyDescent="0.25">
      <c r="A40" t="s">
        <v>49</v>
      </c>
      <c r="B40" t="s">
        <v>140</v>
      </c>
      <c r="C40" t="s">
        <v>108</v>
      </c>
      <c r="E40" t="s">
        <v>121</v>
      </c>
      <c r="F40" t="str">
        <f t="shared" si="0"/>
        <v>LZC_KEY_RECORD</v>
      </c>
      <c r="G40" t="str">
        <f t="shared" si="1"/>
        <v>0x0228</v>
      </c>
    </row>
    <row r="41" spans="1:7" x14ac:dyDescent="0.25">
      <c r="A41" t="s">
        <v>6</v>
      </c>
      <c r="B41" t="s">
        <v>24</v>
      </c>
      <c r="C41" t="s">
        <v>108</v>
      </c>
      <c r="E41" t="s">
        <v>121</v>
      </c>
      <c r="F41" t="str">
        <f t="shared" si="0"/>
        <v>LZC_KEY_REWIND</v>
      </c>
      <c r="G41" t="str">
        <f t="shared" si="1"/>
        <v>0x0219</v>
      </c>
    </row>
    <row r="42" spans="1:7" x14ac:dyDescent="0.25">
      <c r="A42" t="s">
        <v>110</v>
      </c>
      <c r="B42" t="s">
        <v>9</v>
      </c>
      <c r="C42" t="s">
        <v>108</v>
      </c>
      <c r="E42" t="s">
        <v>121</v>
      </c>
      <c r="F42" t="str">
        <f t="shared" si="0"/>
        <v>LZC_KEY_FASTFORWARD</v>
      </c>
      <c r="G42" t="str">
        <f t="shared" si="1"/>
        <v>0x0218</v>
      </c>
    </row>
    <row r="43" spans="1:7" x14ac:dyDescent="0.25">
      <c r="A43" t="s">
        <v>50</v>
      </c>
      <c r="B43" t="s">
        <v>141</v>
      </c>
      <c r="C43" t="s">
        <v>108</v>
      </c>
      <c r="E43" t="s">
        <v>121</v>
      </c>
      <c r="F43" t="str">
        <f t="shared" si="0"/>
        <v>LZC_KEY_PAUSE</v>
      </c>
      <c r="G43" t="str">
        <f t="shared" si="1"/>
        <v>0x022C</v>
      </c>
    </row>
    <row r="44" spans="1:7" x14ac:dyDescent="0.25">
      <c r="A44" s="1" t="s">
        <v>68</v>
      </c>
      <c r="B44" t="s">
        <v>89</v>
      </c>
      <c r="C44" t="s">
        <v>108</v>
      </c>
      <c r="E44" t="s">
        <v>121</v>
      </c>
      <c r="F44" t="str">
        <f t="shared" si="0"/>
        <v>LZC_KEY_NUM_1</v>
      </c>
      <c r="G44" t="str">
        <f t="shared" si="1"/>
        <v>0x0233</v>
      </c>
    </row>
    <row r="45" spans="1:7" x14ac:dyDescent="0.25">
      <c r="A45" s="1" t="s">
        <v>69</v>
      </c>
      <c r="B45" t="s">
        <v>96</v>
      </c>
      <c r="C45" t="s">
        <v>108</v>
      </c>
      <c r="E45" t="s">
        <v>121</v>
      </c>
      <c r="F45" t="str">
        <f t="shared" si="0"/>
        <v>LZC_KEY_NUM_2</v>
      </c>
      <c r="G45" t="str">
        <f t="shared" si="1"/>
        <v>0x0234</v>
      </c>
    </row>
    <row r="46" spans="1:7" x14ac:dyDescent="0.25">
      <c r="A46" s="1" t="s">
        <v>70</v>
      </c>
      <c r="B46" t="s">
        <v>142</v>
      </c>
      <c r="C46" t="s">
        <v>108</v>
      </c>
      <c r="E46" t="s">
        <v>121</v>
      </c>
      <c r="F46" t="str">
        <f t="shared" si="0"/>
        <v>LZC_KEY_NUM_3</v>
      </c>
      <c r="G46" t="str">
        <f t="shared" si="1"/>
        <v>0x0235</v>
      </c>
    </row>
    <row r="47" spans="1:7" x14ac:dyDescent="0.25">
      <c r="A47" s="1" t="s">
        <v>71</v>
      </c>
      <c r="B47" t="s">
        <v>143</v>
      </c>
      <c r="C47" t="s">
        <v>108</v>
      </c>
      <c r="E47" t="s">
        <v>121</v>
      </c>
      <c r="F47" t="str">
        <f t="shared" si="0"/>
        <v>LZC_KEY_NUM_4</v>
      </c>
      <c r="G47" t="str">
        <f t="shared" si="1"/>
        <v>0x0236</v>
      </c>
    </row>
    <row r="48" spans="1:7" x14ac:dyDescent="0.25">
      <c r="A48" s="1" t="s">
        <v>72</v>
      </c>
      <c r="B48" t="s">
        <v>144</v>
      </c>
      <c r="C48" t="s">
        <v>108</v>
      </c>
      <c r="E48" t="s">
        <v>121</v>
      </c>
      <c r="F48" t="str">
        <f t="shared" si="0"/>
        <v>LZC_KEY_NUM_5</v>
      </c>
      <c r="G48" t="str">
        <f t="shared" si="1"/>
        <v>0x0237</v>
      </c>
    </row>
    <row r="49" spans="1:7" x14ac:dyDescent="0.25">
      <c r="A49" s="1" t="s">
        <v>73</v>
      </c>
      <c r="B49" t="s">
        <v>145</v>
      </c>
      <c r="C49" t="s">
        <v>108</v>
      </c>
      <c r="E49" t="s">
        <v>121</v>
      </c>
      <c r="F49" t="str">
        <f t="shared" si="0"/>
        <v>LZC_KEY_NUM_6</v>
      </c>
      <c r="G49" t="str">
        <f t="shared" si="1"/>
        <v>0x0238</v>
      </c>
    </row>
    <row r="50" spans="1:7" x14ac:dyDescent="0.25">
      <c r="A50" s="1" t="s">
        <v>74</v>
      </c>
      <c r="B50" t="s">
        <v>146</v>
      </c>
      <c r="C50" t="s">
        <v>108</v>
      </c>
      <c r="E50" t="s">
        <v>121</v>
      </c>
      <c r="F50" t="str">
        <f t="shared" si="0"/>
        <v>LZC_KEY_NUM_7</v>
      </c>
      <c r="G50" t="str">
        <f t="shared" si="1"/>
        <v>0x0239</v>
      </c>
    </row>
    <row r="51" spans="1:7" x14ac:dyDescent="0.25">
      <c r="A51" s="1" t="s">
        <v>75</v>
      </c>
      <c r="B51" t="s">
        <v>147</v>
      </c>
      <c r="C51" t="s">
        <v>108</v>
      </c>
      <c r="E51" t="s">
        <v>121</v>
      </c>
      <c r="F51" t="str">
        <f t="shared" si="0"/>
        <v>LZC_KEY_NUM_8</v>
      </c>
      <c r="G51" t="str">
        <f t="shared" si="1"/>
        <v>0x023A</v>
      </c>
    </row>
    <row r="52" spans="1:7" x14ac:dyDescent="0.25">
      <c r="A52" s="1" t="s">
        <v>76</v>
      </c>
      <c r="B52" t="s">
        <v>148</v>
      </c>
      <c r="C52" t="s">
        <v>108</v>
      </c>
      <c r="E52" t="s">
        <v>121</v>
      </c>
      <c r="F52" t="str">
        <f t="shared" si="0"/>
        <v>LZC_KEY_NUM_9</v>
      </c>
      <c r="G52" t="str">
        <f t="shared" si="1"/>
        <v>0x023B</v>
      </c>
    </row>
    <row r="53" spans="1:7" x14ac:dyDescent="0.25">
      <c r="A53" s="1" t="s">
        <v>77</v>
      </c>
      <c r="B53" t="s">
        <v>149</v>
      </c>
      <c r="C53" t="s">
        <v>108</v>
      </c>
      <c r="E53" t="s">
        <v>121</v>
      </c>
      <c r="F53" t="str">
        <f t="shared" si="0"/>
        <v>LZC_KEY_NUM_0</v>
      </c>
      <c r="G53" t="str">
        <f t="shared" si="1"/>
        <v>0x0232</v>
      </c>
    </row>
    <row r="54" spans="1:7" x14ac:dyDescent="0.25">
      <c r="A54" t="s">
        <v>78</v>
      </c>
      <c r="B54" t="s">
        <v>86</v>
      </c>
      <c r="C54" t="s">
        <v>108</v>
      </c>
      <c r="E54" t="s">
        <v>121</v>
      </c>
      <c r="F54" t="str">
        <f t="shared" si="0"/>
        <v>LZC_KEY_NUM_STAR</v>
      </c>
      <c r="G54" t="str">
        <f t="shared" si="1"/>
        <v>0x0226</v>
      </c>
    </row>
    <row r="55" spans="1:7" x14ac:dyDescent="0.25">
      <c r="A55" t="s">
        <v>79</v>
      </c>
      <c r="B55" t="s">
        <v>88</v>
      </c>
      <c r="C55" t="s">
        <v>108</v>
      </c>
      <c r="E55" t="s">
        <v>121</v>
      </c>
      <c r="F55" t="str">
        <f t="shared" si="0"/>
        <v>LZC_KEY_NUM_POUND</v>
      </c>
      <c r="G55" t="str">
        <f t="shared" si="1"/>
        <v>0x0227</v>
      </c>
    </row>
    <row r="56" spans="1:7" x14ac:dyDescent="0.25">
      <c r="A56" t="s">
        <v>51</v>
      </c>
      <c r="B56" t="s">
        <v>25</v>
      </c>
      <c r="C56" t="s">
        <v>108</v>
      </c>
      <c r="E56" t="s">
        <v>121</v>
      </c>
      <c r="F56" t="str">
        <f t="shared" si="0"/>
        <v>LZC_KEY_CLEAR</v>
      </c>
      <c r="G56" t="str">
        <f t="shared" si="1"/>
        <v>0x021B</v>
      </c>
    </row>
    <row r="57" spans="1:7" x14ac:dyDescent="0.25">
      <c r="A57" t="s">
        <v>7</v>
      </c>
      <c r="B57" t="s">
        <v>32</v>
      </c>
      <c r="C57" t="s">
        <v>108</v>
      </c>
      <c r="E57" t="s">
        <v>121</v>
      </c>
      <c r="F57" t="str">
        <f t="shared" si="0"/>
        <v>LZC_KEY_ENTER</v>
      </c>
      <c r="G57" t="str">
        <f t="shared" si="1"/>
        <v>0x021A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 Center</vt:lpstr>
      <vt:lpstr>Logitech Z Cinema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</dc:creator>
  <cp:lastModifiedBy>Radu</cp:lastModifiedBy>
  <dcterms:created xsi:type="dcterms:W3CDTF">2025-12-18T08:29:56Z</dcterms:created>
  <dcterms:modified xsi:type="dcterms:W3CDTF">2025-12-20T14:48:11Z</dcterms:modified>
</cp:coreProperties>
</file>